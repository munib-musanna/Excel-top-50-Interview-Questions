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E2FF50-4922-4C99-93EF-378D0E69F3FA}" xr6:coauthVersionLast="47" xr6:coauthVersionMax="47" xr10:uidLastSave="{00000000-0000-0000-0000-000000000000}"/>
  <bookViews>
    <workbookView xWindow="-120" yWindow="-120" windowWidth="29040" windowHeight="15720" activeTab="1" xr2:uid="{26D4546B-D2A1-4444-8EAF-A6228F96F0C1}"/>
  </bookViews>
  <sheets>
    <sheet name="Remove Duplicat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2" l="1" a="1"/>
  <c r="M16" i="2" s="1"/>
  <c r="M17" i="2" a="1"/>
  <c r="M17" i="2" s="1"/>
  <c r="M18" i="2" a="1"/>
  <c r="M18" i="2" s="1"/>
  <c r="M19" i="2" a="1"/>
  <c r="M19" i="2" s="1"/>
  <c r="M20" i="2" a="1"/>
  <c r="M20" i="2"/>
  <c r="M21" i="2" a="1"/>
  <c r="M21" i="2"/>
  <c r="M22" i="2" a="1"/>
  <c r="M22" i="2" s="1"/>
  <c r="M23" i="2" a="1"/>
  <c r="M23" i="2" s="1"/>
  <c r="M24" i="2" a="1"/>
  <c r="M24" i="2" s="1"/>
  <c r="M25" i="2" a="1"/>
  <c r="M25" i="2" s="1"/>
  <c r="M26" i="2" a="1"/>
  <c r="M26" i="2"/>
  <c r="M27" i="2" a="1"/>
  <c r="M27" i="2"/>
  <c r="M28" i="2" a="1"/>
  <c r="M28" i="2" s="1"/>
  <c r="M15" i="2" a="1"/>
  <c r="M15" i="2" s="1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15" i="2"/>
  <c r="K15" i="2" a="1"/>
  <c r="K15" i="2" s="1"/>
  <c r="D5" i="2" a="1"/>
  <c r="D5" i="2" s="1"/>
  <c r="F30" i="1" a="1"/>
  <c r="F30" i="1" s="1"/>
  <c r="C30" i="1" a="1"/>
  <c r="C3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<sst xmlns="http://schemas.openxmlformats.org/spreadsheetml/2006/main" count="152" uniqueCount="51">
  <si>
    <t>Duplicates</t>
  </si>
  <si>
    <t>Names</t>
  </si>
  <si>
    <t>Name</t>
  </si>
  <si>
    <t>Department</t>
  </si>
  <si>
    <t>Names in a cell</t>
  </si>
  <si>
    <t>Date</t>
  </si>
  <si>
    <t>Value</t>
  </si>
  <si>
    <t>Names 1</t>
  </si>
  <si>
    <t>Names 2</t>
  </si>
  <si>
    <t>Barank Obama</t>
  </si>
  <si>
    <t>Large Bush</t>
  </si>
  <si>
    <t>Fill Clinton</t>
  </si>
  <si>
    <t>Now Biden</t>
  </si>
  <si>
    <t>ROWland Reagan</t>
  </si>
  <si>
    <t>Jimmy Charter</t>
  </si>
  <si>
    <t>Gerald Find</t>
  </si>
  <si>
    <t>Richard Function</t>
  </si>
  <si>
    <t>Abraham LinColumn</t>
  </si>
  <si>
    <t>Harry S TRUEman</t>
  </si>
  <si>
    <t>John IF Kennedy</t>
  </si>
  <si>
    <t>Wood ROW Wilson</t>
  </si>
  <si>
    <t>Franklin D Choosevelt</t>
  </si>
  <si>
    <t>Ulysses S. GrandTotal</t>
  </si>
  <si>
    <t>Dwight D. EisenLower</t>
  </si>
  <si>
    <t>Exact Hoover</t>
  </si>
  <si>
    <t>Amitabh FUNCTION</t>
  </si>
  <si>
    <t>Shahrukh SCAN</t>
  </si>
  <si>
    <t>Aishwarya ROW</t>
  </si>
  <si>
    <t>Rajini COTH</t>
  </si>
  <si>
    <t>Mammo T</t>
  </si>
  <si>
    <t>Pra BASE</t>
  </si>
  <si>
    <t>Alia BAHTTEXT</t>
  </si>
  <si>
    <t>VALUE Arjun</t>
  </si>
  <si>
    <t>ShaHIDE Kapoor</t>
  </si>
  <si>
    <t>Paresh ROWLEVEL</t>
  </si>
  <si>
    <t>Mani RatNAME</t>
  </si>
  <si>
    <t>ViRIGHT Kohli</t>
  </si>
  <si>
    <t>SachIF Tendulkar</t>
  </si>
  <si>
    <t>VishwanaTAN AnAND</t>
  </si>
  <si>
    <t>Marketing</t>
  </si>
  <si>
    <t>HR</t>
  </si>
  <si>
    <t>Finance</t>
  </si>
  <si>
    <t>Britney CUBES, Ed Shewalk, Britney CUBES</t>
  </si>
  <si>
    <t>Billie Eyelash, Backalley Boys, Crickets, Backalley Boys, Britney CUBES, Britney CUBES</t>
  </si>
  <si>
    <t>Taylor SHIFT, String, Justout Beiber, String</t>
  </si>
  <si>
    <t>Britney CUBES, Britney CUBES, Ed Shewalk, Justout Beiber, Britney CUBES</t>
  </si>
  <si>
    <t>Backalley Boys, Crickets, String, Billie Eyelash, Char, Taylor SHIFT</t>
  </si>
  <si>
    <t>Crickets, Char, Backalley Boys, Britney CUBES</t>
  </si>
  <si>
    <t>Char, Backalley Boys, Crickets, Crickets, Taylor SHIFT, Ed Shewalk</t>
  </si>
  <si>
    <t>Without Duplicates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</si>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</sst>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9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0" fillId="0" borderId="2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5" fontId="0" fillId="0" borderId="2" xfId="0" applyNumberFormat="1" applyBorder="1" applyAlignment="1">
      <alignment horizontal="left"/>
    </xf>
    <xf numFmtId="164" fontId="0" fillId="0" borderId="2" xfId="1" applyNumberFormat="1" applyFont="1" applyBorder="1" applyAlignment="1">
      <alignment horizont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0" xfId="0" applyFont="1" applyFill="1"/>
    <xf numFmtId="15" fontId="0" fillId="0" borderId="0" xfId="0" applyNumberFormat="1"/>
    <xf numFmtId="169" fontId="0" fillId="0" borderId="0" xfId="1" applyNumberFormat="1" applyFont="1"/>
  </cellXfs>
  <cellStyles count="2">
    <cellStyle name="Currency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0</xdr:row>
      <xdr:rowOff>149958</xdr:rowOff>
    </xdr:from>
    <xdr:to>
      <xdr:col>12</xdr:col>
      <xdr:colOff>1200979</xdr:colOff>
      <xdr:row>0</xdr:row>
      <xdr:rowOff>491823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6740" y="149958"/>
          <a:ext cx="1200978" cy="341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U45"/>
  <sheetViews>
    <sheetView showGridLines="0" topLeftCell="H1" zoomScale="115" zoomScaleNormal="115" workbookViewId="0">
      <selection activeCell="S26" sqref="S26"/>
    </sheetView>
  </sheetViews>
  <sheetFormatPr defaultRowHeight="15" x14ac:dyDescent="0.25"/>
  <cols>
    <col min="1" max="1" width="1.7109375" customWidth="1"/>
    <col min="2" max="2" width="3.7109375" customWidth="1"/>
    <col min="3" max="3" width="20.85546875" customWidth="1"/>
    <col min="6" max="6" width="20" bestFit="1" customWidth="1"/>
    <col min="7" max="7" width="12" bestFit="1" customWidth="1"/>
    <col min="10" max="10" width="74" bestFit="1" customWidth="1"/>
    <col min="13" max="13" width="20.42578125" bestFit="1" customWidth="1"/>
    <col min="14" max="14" width="13.140625" customWidth="1"/>
    <col min="18" max="18" width="20.42578125" bestFit="1" customWidth="1"/>
    <col min="21" max="21" width="20.5703125" bestFit="1" customWidth="1"/>
  </cols>
  <sheetData>
    <row r="1" spans="1:21" s="2" customFormat="1" ht="52.5" customHeight="1" x14ac:dyDescent="0.25">
      <c r="A1" s="1"/>
      <c r="C1" s="3" t="s">
        <v>0</v>
      </c>
    </row>
    <row r="4" spans="1:21" x14ac:dyDescent="0.25">
      <c r="C4" s="5" t="s">
        <v>1</v>
      </c>
      <c r="F4" s="5" t="s">
        <v>2</v>
      </c>
      <c r="G4" s="5" t="s">
        <v>3</v>
      </c>
      <c r="J4" s="5" t="s">
        <v>4</v>
      </c>
      <c r="M4" s="5" t="s">
        <v>2</v>
      </c>
      <c r="N4" s="7" t="s">
        <v>5</v>
      </c>
      <c r="O4" s="6" t="s">
        <v>6</v>
      </c>
      <c r="R4" s="10" t="s">
        <v>7</v>
      </c>
      <c r="U4" s="11" t="s">
        <v>8</v>
      </c>
    </row>
    <row r="5" spans="1:21" x14ac:dyDescent="0.25">
      <c r="C5" s="4" t="s">
        <v>38</v>
      </c>
      <c r="F5" s="4" t="s">
        <v>22</v>
      </c>
      <c r="G5" s="4" t="s">
        <v>39</v>
      </c>
      <c r="J5" s="4" t="s">
        <v>42</v>
      </c>
      <c r="M5" s="4" t="s">
        <v>23</v>
      </c>
      <c r="N5" s="8">
        <v>45453</v>
      </c>
      <c r="O5" s="9">
        <v>130</v>
      </c>
      <c r="R5" s="4" t="s">
        <v>14</v>
      </c>
      <c r="U5" s="4" t="s">
        <v>18</v>
      </c>
    </row>
    <row r="6" spans="1:21" x14ac:dyDescent="0.25">
      <c r="C6" s="4" t="s">
        <v>21</v>
      </c>
      <c r="F6" s="4" t="s">
        <v>18</v>
      </c>
      <c r="G6" s="4" t="s">
        <v>39</v>
      </c>
      <c r="J6" s="4" t="s">
        <v>43</v>
      </c>
      <c r="M6" s="4" t="s">
        <v>18</v>
      </c>
      <c r="N6" s="8">
        <v>45449</v>
      </c>
      <c r="O6" s="9">
        <v>125</v>
      </c>
      <c r="R6" s="4" t="s">
        <v>36</v>
      </c>
      <c r="U6" s="4" t="s">
        <v>29</v>
      </c>
    </row>
    <row r="7" spans="1:21" x14ac:dyDescent="0.25">
      <c r="C7" s="4" t="s">
        <v>30</v>
      </c>
      <c r="F7" s="4" t="s">
        <v>29</v>
      </c>
      <c r="G7" s="4" t="s">
        <v>40</v>
      </c>
      <c r="J7" s="4" t="s">
        <v>44</v>
      </c>
      <c r="M7" s="4" t="s">
        <v>22</v>
      </c>
      <c r="N7" s="8">
        <v>45444</v>
      </c>
      <c r="O7" s="9">
        <v>245</v>
      </c>
      <c r="R7" s="4" t="s">
        <v>26</v>
      </c>
      <c r="U7" s="4" t="s">
        <v>12</v>
      </c>
    </row>
    <row r="8" spans="1:21" x14ac:dyDescent="0.25">
      <c r="C8" s="4" t="s">
        <v>38</v>
      </c>
      <c r="F8" s="4" t="s">
        <v>28</v>
      </c>
      <c r="G8" s="4" t="s">
        <v>40</v>
      </c>
      <c r="J8" s="4" t="s">
        <v>45</v>
      </c>
      <c r="M8" s="4" t="s">
        <v>18</v>
      </c>
      <c r="N8" s="8">
        <v>45438</v>
      </c>
      <c r="O8" s="9">
        <v>105</v>
      </c>
      <c r="R8" s="4" t="s">
        <v>18</v>
      </c>
      <c r="U8" s="4" t="s">
        <v>11</v>
      </c>
    </row>
    <row r="9" spans="1:21" x14ac:dyDescent="0.25">
      <c r="C9" s="4" t="s">
        <v>22</v>
      </c>
      <c r="F9" s="4" t="s">
        <v>25</v>
      </c>
      <c r="G9" s="4" t="s">
        <v>40</v>
      </c>
      <c r="J9" s="4" t="s">
        <v>46</v>
      </c>
      <c r="M9" s="4" t="s">
        <v>19</v>
      </c>
      <c r="N9" s="8">
        <v>45435</v>
      </c>
      <c r="O9" s="9">
        <v>215</v>
      </c>
      <c r="R9" s="4" t="s">
        <v>13</v>
      </c>
      <c r="U9" s="4" t="s">
        <v>9</v>
      </c>
    </row>
    <row r="10" spans="1:21" x14ac:dyDescent="0.25">
      <c r="C10" s="4" t="s">
        <v>14</v>
      </c>
      <c r="F10" s="4" t="s">
        <v>10</v>
      </c>
      <c r="G10" s="4" t="s">
        <v>41</v>
      </c>
      <c r="J10" s="4" t="s">
        <v>47</v>
      </c>
      <c r="M10" s="4" t="s">
        <v>17</v>
      </c>
      <c r="N10" s="8">
        <v>45432</v>
      </c>
      <c r="O10" s="9">
        <v>155</v>
      </c>
      <c r="R10" s="4" t="s">
        <v>33</v>
      </c>
      <c r="U10" s="4" t="s">
        <v>10</v>
      </c>
    </row>
    <row r="11" spans="1:21" x14ac:dyDescent="0.25">
      <c r="C11" s="4" t="s">
        <v>35</v>
      </c>
      <c r="F11" s="4" t="s">
        <v>11</v>
      </c>
      <c r="G11" s="4" t="s">
        <v>41</v>
      </c>
      <c r="J11" s="4" t="s">
        <v>48</v>
      </c>
      <c r="M11" s="4" t="s">
        <v>16</v>
      </c>
      <c r="N11" s="8">
        <v>45411</v>
      </c>
      <c r="O11" s="9">
        <v>105</v>
      </c>
      <c r="R11" s="4" t="s">
        <v>24</v>
      </c>
      <c r="U11" s="4" t="s">
        <v>21</v>
      </c>
    </row>
    <row r="12" spans="1:21" x14ac:dyDescent="0.25">
      <c r="C12" s="4" t="s">
        <v>25</v>
      </c>
      <c r="F12" s="4" t="s">
        <v>24</v>
      </c>
      <c r="G12" s="4" t="s">
        <v>41</v>
      </c>
      <c r="M12" s="4" t="s">
        <v>37</v>
      </c>
      <c r="N12" s="8">
        <v>45409</v>
      </c>
      <c r="O12" s="9">
        <v>235</v>
      </c>
      <c r="R12" s="4" t="s">
        <v>12</v>
      </c>
    </row>
    <row r="13" spans="1:21" x14ac:dyDescent="0.25">
      <c r="C13" s="4" t="s">
        <v>34</v>
      </c>
      <c r="F13" s="4" t="s">
        <v>19</v>
      </c>
      <c r="G13" s="4" t="s">
        <v>39</v>
      </c>
      <c r="M13" s="4" t="s">
        <v>32</v>
      </c>
      <c r="N13" s="8">
        <v>45407</v>
      </c>
      <c r="O13" s="9">
        <v>175</v>
      </c>
      <c r="R13" s="4" t="s">
        <v>23</v>
      </c>
    </row>
    <row r="14" spans="1:21" x14ac:dyDescent="0.25">
      <c r="C14" s="4" t="s">
        <v>26</v>
      </c>
      <c r="F14" s="4" t="s">
        <v>31</v>
      </c>
      <c r="G14" s="4" t="s">
        <v>39</v>
      </c>
      <c r="M14" s="4" t="s">
        <v>24</v>
      </c>
      <c r="N14" s="8">
        <v>45407</v>
      </c>
      <c r="O14" s="9">
        <v>165</v>
      </c>
      <c r="R14" s="4" t="s">
        <v>23</v>
      </c>
    </row>
    <row r="15" spans="1:21" x14ac:dyDescent="0.25">
      <c r="C15" s="4" t="s">
        <v>16</v>
      </c>
      <c r="F15" s="4" t="s">
        <v>28</v>
      </c>
      <c r="G15" s="4" t="s">
        <v>40</v>
      </c>
      <c r="M15" s="4" t="s">
        <v>18</v>
      </c>
      <c r="N15" s="8">
        <v>45383</v>
      </c>
      <c r="O15" s="9">
        <v>105</v>
      </c>
    </row>
    <row r="16" spans="1:21" x14ac:dyDescent="0.25">
      <c r="C16" s="4" t="s">
        <v>17</v>
      </c>
      <c r="F16" s="4" t="s">
        <v>25</v>
      </c>
      <c r="G16" s="4" t="s">
        <v>40</v>
      </c>
      <c r="M16" s="4" t="s">
        <v>32</v>
      </c>
      <c r="N16" s="8">
        <v>45378</v>
      </c>
      <c r="O16" s="9">
        <v>240</v>
      </c>
    </row>
    <row r="17" spans="3:18" x14ac:dyDescent="0.25">
      <c r="C17" s="4" t="s">
        <v>18</v>
      </c>
      <c r="F17" s="4" t="s">
        <v>29</v>
      </c>
      <c r="G17" s="4" t="s">
        <v>41</v>
      </c>
      <c r="M17" s="4" t="s">
        <v>31</v>
      </c>
      <c r="N17" s="8">
        <v>45374</v>
      </c>
      <c r="O17" s="9">
        <v>165</v>
      </c>
    </row>
    <row r="18" spans="3:18" x14ac:dyDescent="0.25">
      <c r="C18" s="4" t="s">
        <v>19</v>
      </c>
      <c r="F18" s="4" t="s">
        <v>11</v>
      </c>
      <c r="G18" s="4" t="s">
        <v>41</v>
      </c>
      <c r="M18" s="4" t="s">
        <v>16</v>
      </c>
      <c r="N18" s="8">
        <v>45361</v>
      </c>
      <c r="O18" s="9">
        <v>220</v>
      </c>
      <c r="R18" s="4" t="s">
        <v>14</v>
      </c>
    </row>
    <row r="19" spans="3:18" x14ac:dyDescent="0.25">
      <c r="C19" s="4" t="s">
        <v>20</v>
      </c>
      <c r="M19" s="4" t="s">
        <v>27</v>
      </c>
      <c r="N19" s="8">
        <v>45344</v>
      </c>
      <c r="O19" s="9">
        <v>120</v>
      </c>
      <c r="R19" s="4" t="s">
        <v>36</v>
      </c>
    </row>
    <row r="20" spans="3:18" x14ac:dyDescent="0.25">
      <c r="C20" s="4" t="s">
        <v>21</v>
      </c>
      <c r="M20" s="4" t="s">
        <v>24</v>
      </c>
      <c r="N20" s="8">
        <v>45319</v>
      </c>
      <c r="O20" s="9">
        <v>210</v>
      </c>
      <c r="R20" s="4" t="s">
        <v>26</v>
      </c>
    </row>
    <row r="21" spans="3:18" x14ac:dyDescent="0.25">
      <c r="C21" s="4" t="s">
        <v>22</v>
      </c>
      <c r="M21" s="4" t="s">
        <v>16</v>
      </c>
      <c r="N21" s="8">
        <v>45316</v>
      </c>
      <c r="O21" s="9">
        <v>160</v>
      </c>
      <c r="R21" s="4" t="s">
        <v>18</v>
      </c>
    </row>
    <row r="22" spans="3:18" x14ac:dyDescent="0.25">
      <c r="C22" s="4" t="s">
        <v>23</v>
      </c>
      <c r="M22" s="4" t="s">
        <v>15</v>
      </c>
      <c r="N22" s="8">
        <v>45315</v>
      </c>
      <c r="O22" s="9">
        <v>165</v>
      </c>
      <c r="R22" s="4" t="s">
        <v>13</v>
      </c>
    </row>
    <row r="23" spans="3:18" x14ac:dyDescent="0.25">
      <c r="C23" s="4" t="s">
        <v>33</v>
      </c>
      <c r="M23" s="4" t="s">
        <v>21</v>
      </c>
      <c r="N23" s="8">
        <v>45315</v>
      </c>
      <c r="O23" s="9">
        <v>130</v>
      </c>
      <c r="R23" s="4" t="s">
        <v>33</v>
      </c>
    </row>
    <row r="24" spans="3:18" x14ac:dyDescent="0.25">
      <c r="C24" s="4" t="s">
        <v>34</v>
      </c>
      <c r="M24" s="4" t="s">
        <v>35</v>
      </c>
      <c r="N24" s="8">
        <v>45294</v>
      </c>
      <c r="O24" s="9">
        <v>105</v>
      </c>
      <c r="R24" s="4" t="s">
        <v>24</v>
      </c>
    </row>
    <row r="25" spans="3:18" x14ac:dyDescent="0.25">
      <c r="C25" s="4" t="s">
        <v>35</v>
      </c>
      <c r="R25" s="4" t="s">
        <v>12</v>
      </c>
    </row>
    <row r="26" spans="3:18" x14ac:dyDescent="0.25">
      <c r="R26" s="4" t="s">
        <v>23</v>
      </c>
    </row>
    <row r="27" spans="3:18" x14ac:dyDescent="0.25">
      <c r="R27" s="4" t="s">
        <v>29</v>
      </c>
    </row>
    <row r="28" spans="3:18" x14ac:dyDescent="0.25">
      <c r="R28" s="4" t="s">
        <v>11</v>
      </c>
    </row>
    <row r="29" spans="3:18" x14ac:dyDescent="0.25">
      <c r="R29" s="4" t="s">
        <v>9</v>
      </c>
    </row>
    <row r="30" spans="3:18" x14ac:dyDescent="0.25">
      <c r="C30" t="str" cm="1">
        <f t="array" ref="C30:C45">_xlfn.UNIQUE(C5:C25)</f>
        <v>VishwanaTAN AnAND</v>
      </c>
      <c r="F30" t="str" cm="1">
        <f t="array" ref="F30:G40">_xlfn.UNIQUE(F5:G18)</f>
        <v>Ulysses S. GrandTotal</v>
      </c>
      <c r="G30" t="str">
        <v>Marketing</v>
      </c>
      <c r="R30" s="4" t="s">
        <v>10</v>
      </c>
    </row>
    <row r="31" spans="3:18" x14ac:dyDescent="0.25">
      <c r="C31" t="str">
        <v>Franklin D Choosevelt</v>
      </c>
      <c r="F31" t="str">
        <v>Harry S TRUEman</v>
      </c>
      <c r="G31" t="str">
        <v>Marketing</v>
      </c>
      <c r="R31" s="4" t="s">
        <v>21</v>
      </c>
    </row>
    <row r="32" spans="3:18" x14ac:dyDescent="0.25">
      <c r="C32" t="str">
        <v>Pra BASE</v>
      </c>
      <c r="F32" t="str">
        <v>Mammo T</v>
      </c>
      <c r="G32" t="str">
        <v>HR</v>
      </c>
    </row>
    <row r="33" spans="3:7" x14ac:dyDescent="0.25">
      <c r="C33" t="str">
        <v>Ulysses S. GrandTotal</v>
      </c>
      <c r="F33" t="str">
        <v>Rajini COTH</v>
      </c>
      <c r="G33" t="str">
        <v>HR</v>
      </c>
    </row>
    <row r="34" spans="3:7" x14ac:dyDescent="0.25">
      <c r="C34" t="str">
        <v>Jimmy Charter</v>
      </c>
      <c r="F34" t="str">
        <v>Amitabh FUNCTION</v>
      </c>
      <c r="G34" t="str">
        <v>HR</v>
      </c>
    </row>
    <row r="35" spans="3:7" x14ac:dyDescent="0.25">
      <c r="C35" t="str">
        <v>Mani RatNAME</v>
      </c>
      <c r="F35" t="str">
        <v>Large Bush</v>
      </c>
      <c r="G35" t="str">
        <v>Finance</v>
      </c>
    </row>
    <row r="36" spans="3:7" x14ac:dyDescent="0.25">
      <c r="C36" t="str">
        <v>Amitabh FUNCTION</v>
      </c>
      <c r="F36" t="str">
        <v>Fill Clinton</v>
      </c>
      <c r="G36" t="str">
        <v>Finance</v>
      </c>
    </row>
    <row r="37" spans="3:7" x14ac:dyDescent="0.25">
      <c r="C37" t="str">
        <v>Paresh ROWLEVEL</v>
      </c>
      <c r="F37" t="str">
        <v>Exact Hoover</v>
      </c>
      <c r="G37" t="str">
        <v>Finance</v>
      </c>
    </row>
    <row r="38" spans="3:7" x14ac:dyDescent="0.25">
      <c r="C38" t="str">
        <v>Shahrukh SCAN</v>
      </c>
      <c r="F38" t="str">
        <v>John IF Kennedy</v>
      </c>
      <c r="G38" t="str">
        <v>Marketing</v>
      </c>
    </row>
    <row r="39" spans="3:7" x14ac:dyDescent="0.25">
      <c r="C39" t="str">
        <v>Richard Function</v>
      </c>
      <c r="F39" t="str">
        <v>Alia BAHTTEXT</v>
      </c>
      <c r="G39" t="str">
        <v>Marketing</v>
      </c>
    </row>
    <row r="40" spans="3:7" x14ac:dyDescent="0.25">
      <c r="C40" t="str">
        <v>Abraham LinColumn</v>
      </c>
      <c r="F40" t="str">
        <v>Mammo T</v>
      </c>
      <c r="G40" t="str">
        <v>Finance</v>
      </c>
    </row>
    <row r="41" spans="3:7" x14ac:dyDescent="0.25">
      <c r="C41" t="str">
        <v>Harry S TRUEman</v>
      </c>
    </row>
    <row r="42" spans="3:7" x14ac:dyDescent="0.25">
      <c r="C42" t="str">
        <v>John IF Kennedy</v>
      </c>
    </row>
    <row r="43" spans="3:7" x14ac:dyDescent="0.25">
      <c r="C43" t="str">
        <v>Wood ROW Wilson</v>
      </c>
    </row>
    <row r="44" spans="3:7" x14ac:dyDescent="0.25">
      <c r="C44" t="str">
        <v>Dwight D. EisenLower</v>
      </c>
    </row>
    <row r="45" spans="3:7" x14ac:dyDescent="0.25">
      <c r="C45" t="str">
        <v>ShaHIDE Kapoor</v>
      </c>
    </row>
  </sheetData>
  <sortState xmlns:xlrd2="http://schemas.microsoft.com/office/spreadsheetml/2017/richdata2" ref="M5:O24">
    <sortCondition descending="1" ref="N5:N24"/>
  </sortState>
  <conditionalFormatting sqref="C5:C25">
    <cfRule type="duplicateValues" dxfId="6" priority="5"/>
  </conditionalFormatting>
  <conditionalFormatting sqref="F5:G18">
    <cfRule type="duplicateValues" dxfId="5" priority="4"/>
  </conditionalFormatting>
  <conditionalFormatting sqref="R5:R14 U5:U11">
    <cfRule type="duplicateValues" dxfId="2" priority="3"/>
  </conditionalFormatting>
  <conditionalFormatting sqref="R18:R27">
    <cfRule type="duplicateValues" dxfId="1" priority="2"/>
  </conditionalFormatting>
  <conditionalFormatting sqref="R28:R31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BAC3-BEB5-41ED-98CE-0535F9082C81}">
  <dimension ref="C4:M34"/>
  <sheetViews>
    <sheetView tabSelected="1" topLeftCell="B1" workbookViewId="0">
      <selection activeCell="O22" sqref="O22"/>
    </sheetView>
  </sheetViews>
  <sheetFormatPr defaultRowHeight="15" x14ac:dyDescent="0.25"/>
  <cols>
    <col min="3" max="3" width="77.5703125" bestFit="1" customWidth="1"/>
    <col min="4" max="4" width="18.28515625" bestFit="1" customWidth="1"/>
    <col min="7" max="7" width="20.5703125" bestFit="1" customWidth="1"/>
    <col min="8" max="8" width="10.140625" bestFit="1" customWidth="1"/>
    <col min="11" max="11" width="22.42578125" customWidth="1"/>
    <col min="12" max="12" width="13.85546875" customWidth="1"/>
    <col min="13" max="13" width="10" bestFit="1" customWidth="1"/>
  </cols>
  <sheetData>
    <row r="4" spans="3:13" x14ac:dyDescent="0.25">
      <c r="C4" s="5" t="s">
        <v>4</v>
      </c>
      <c r="D4" s="12" t="s">
        <v>49</v>
      </c>
    </row>
    <row r="5" spans="3:13" x14ac:dyDescent="0.25">
      <c r="C5" s="4" t="s">
        <v>42</v>
      </c>
      <c r="D5" t="e" cm="1">
        <f t="array" aca="1" ref="D5" ca="1">textsplit(C5,",")</f>
        <v>#NAME?</v>
      </c>
    </row>
    <row r="6" spans="3:13" x14ac:dyDescent="0.25">
      <c r="C6" s="4" t="s">
        <v>43</v>
      </c>
    </row>
    <row r="7" spans="3:13" x14ac:dyDescent="0.25">
      <c r="C7" s="4" t="s">
        <v>44</v>
      </c>
    </row>
    <row r="8" spans="3:13" x14ac:dyDescent="0.25">
      <c r="C8" s="4" t="s">
        <v>45</v>
      </c>
    </row>
    <row r="9" spans="3:13" x14ac:dyDescent="0.25">
      <c r="C9" s="4" t="s">
        <v>46</v>
      </c>
    </row>
    <row r="10" spans="3:13" x14ac:dyDescent="0.25">
      <c r="C10" s="4" t="s">
        <v>47</v>
      </c>
    </row>
    <row r="11" spans="3:13" x14ac:dyDescent="0.25">
      <c r="C11" s="4" t="s">
        <v>48</v>
      </c>
    </row>
    <row r="14" spans="3:13" x14ac:dyDescent="0.25">
      <c r="G14" s="5" t="s">
        <v>2</v>
      </c>
      <c r="H14" s="7" t="s">
        <v>5</v>
      </c>
      <c r="I14" s="6" t="s">
        <v>6</v>
      </c>
      <c r="K14" s="12" t="s">
        <v>50</v>
      </c>
      <c r="L14" s="12" t="s">
        <v>5</v>
      </c>
      <c r="M14" s="12" t="s">
        <v>6</v>
      </c>
    </row>
    <row r="15" spans="3:13" x14ac:dyDescent="0.25">
      <c r="G15" s="4" t="s">
        <v>23</v>
      </c>
      <c r="H15" s="8">
        <v>45453</v>
      </c>
      <c r="I15" s="9">
        <v>130</v>
      </c>
      <c r="K15" t="str" cm="1">
        <f t="array" ref="K15:K28">_xlfn.UNIQUE(G15:G34)</f>
        <v>Dwight D. EisenLower</v>
      </c>
      <c r="L15" s="13">
        <f>_xlfn.MAXIFS(H15:H34,G15:G34,G15)</f>
        <v>45453</v>
      </c>
      <c r="M15" s="14" cm="1">
        <f t="array" ref="M15">_xlfn._xlws.FILTER($I$15:$I$34,($G$15:$G$34=G15)*($H$15:$H$34=H15))</f>
        <v>130</v>
      </c>
    </row>
    <row r="16" spans="3:13" x14ac:dyDescent="0.25">
      <c r="G16" s="4" t="s">
        <v>18</v>
      </c>
      <c r="H16" s="8">
        <v>45449</v>
      </c>
      <c r="I16" s="9">
        <v>125</v>
      </c>
      <c r="K16" t="str">
        <v>Harry S TRUEman</v>
      </c>
      <c r="L16" s="13">
        <f t="shared" ref="L16:L28" si="0">_xlfn.MAXIFS(H16:H35,G16:G35,G16)</f>
        <v>45449</v>
      </c>
      <c r="M16" s="14" cm="1">
        <f t="array" ref="M16">_xlfn._xlws.FILTER($I$15:$I$34,($G$15:$G$34=G16)*($H$15:$H$34=H16))</f>
        <v>125</v>
      </c>
    </row>
    <row r="17" spans="7:13" x14ac:dyDescent="0.25">
      <c r="G17" s="4" t="s">
        <v>22</v>
      </c>
      <c r="H17" s="8">
        <v>45444</v>
      </c>
      <c r="I17" s="9">
        <v>245</v>
      </c>
      <c r="K17" t="str">
        <v>Ulysses S. GrandTotal</v>
      </c>
      <c r="L17" s="13">
        <f t="shared" si="0"/>
        <v>45444</v>
      </c>
      <c r="M17" s="14" cm="1">
        <f t="array" ref="M17">_xlfn._xlws.FILTER($I$15:$I$34,($G$15:$G$34=G17)*($H$15:$H$34=H17))</f>
        <v>245</v>
      </c>
    </row>
    <row r="18" spans="7:13" x14ac:dyDescent="0.25">
      <c r="G18" s="4" t="s">
        <v>18</v>
      </c>
      <c r="H18" s="8">
        <v>45438</v>
      </c>
      <c r="I18" s="9">
        <v>105</v>
      </c>
      <c r="K18" t="str">
        <v>John IF Kennedy</v>
      </c>
      <c r="L18" s="13">
        <f t="shared" si="0"/>
        <v>45438</v>
      </c>
      <c r="M18" s="14" cm="1">
        <f t="array" ref="M18">_xlfn._xlws.FILTER($I$15:$I$34,($G$15:$G$34=G18)*($H$15:$H$34=H18))</f>
        <v>105</v>
      </c>
    </row>
    <row r="19" spans="7:13" x14ac:dyDescent="0.25">
      <c r="G19" s="4" t="s">
        <v>19</v>
      </c>
      <c r="H19" s="8">
        <v>45435</v>
      </c>
      <c r="I19" s="9">
        <v>215</v>
      </c>
      <c r="K19" t="str">
        <v>Abraham LinColumn</v>
      </c>
      <c r="L19" s="13">
        <f t="shared" si="0"/>
        <v>45435</v>
      </c>
      <c r="M19" s="14" cm="1">
        <f t="array" ref="M19">_xlfn._xlws.FILTER($I$15:$I$34,($G$15:$G$34=G19)*($H$15:$H$34=H19))</f>
        <v>215</v>
      </c>
    </row>
    <row r="20" spans="7:13" x14ac:dyDescent="0.25">
      <c r="G20" s="4" t="s">
        <v>17</v>
      </c>
      <c r="H20" s="8">
        <v>45432</v>
      </c>
      <c r="I20" s="9">
        <v>155</v>
      </c>
      <c r="K20" t="str">
        <v>Richard Function</v>
      </c>
      <c r="L20" s="13">
        <f t="shared" si="0"/>
        <v>45432</v>
      </c>
      <c r="M20" s="14" cm="1">
        <f t="array" ref="M20">_xlfn._xlws.FILTER($I$15:$I$34,($G$15:$G$34=G20)*($H$15:$H$34=H20))</f>
        <v>155</v>
      </c>
    </row>
    <row r="21" spans="7:13" x14ac:dyDescent="0.25">
      <c r="G21" s="4" t="s">
        <v>16</v>
      </c>
      <c r="H21" s="8">
        <v>45411</v>
      </c>
      <c r="I21" s="9">
        <v>105</v>
      </c>
      <c r="K21" t="str">
        <v>SachIF Tendulkar</v>
      </c>
      <c r="L21" s="13">
        <f t="shared" si="0"/>
        <v>45411</v>
      </c>
      <c r="M21" s="14" cm="1">
        <f t="array" ref="M21">_xlfn._xlws.FILTER($I$15:$I$34,($G$15:$G$34=G21)*($H$15:$H$34=H21))</f>
        <v>105</v>
      </c>
    </row>
    <row r="22" spans="7:13" x14ac:dyDescent="0.25">
      <c r="G22" s="4" t="s">
        <v>37</v>
      </c>
      <c r="H22" s="8">
        <v>45409</v>
      </c>
      <c r="I22" s="9">
        <v>235</v>
      </c>
      <c r="K22" t="str">
        <v>VALUE Arjun</v>
      </c>
      <c r="L22" s="13">
        <f t="shared" si="0"/>
        <v>45409</v>
      </c>
      <c r="M22" s="14" cm="1">
        <f t="array" ref="M22">_xlfn._xlws.FILTER($I$15:$I$34,($G$15:$G$34=G22)*($H$15:$H$34=H22))</f>
        <v>235</v>
      </c>
    </row>
    <row r="23" spans="7:13" x14ac:dyDescent="0.25">
      <c r="G23" s="4" t="s">
        <v>32</v>
      </c>
      <c r="H23" s="8">
        <v>45407</v>
      </c>
      <c r="I23" s="9">
        <v>175</v>
      </c>
      <c r="K23" t="str">
        <v>Exact Hoover</v>
      </c>
      <c r="L23" s="13">
        <f t="shared" si="0"/>
        <v>45407</v>
      </c>
      <c r="M23" s="14" cm="1">
        <f t="array" ref="M23">_xlfn._xlws.FILTER($I$15:$I$34,($G$15:$G$34=G23)*($H$15:$H$34=H23))</f>
        <v>175</v>
      </c>
    </row>
    <row r="24" spans="7:13" x14ac:dyDescent="0.25">
      <c r="G24" s="4" t="s">
        <v>24</v>
      </c>
      <c r="H24" s="8">
        <v>45407</v>
      </c>
      <c r="I24" s="9">
        <v>165</v>
      </c>
      <c r="K24" t="str">
        <v>Alia BAHTTEXT</v>
      </c>
      <c r="L24" s="13">
        <f t="shared" si="0"/>
        <v>45407</v>
      </c>
      <c r="M24" s="14" cm="1">
        <f t="array" ref="M24">_xlfn._xlws.FILTER($I$15:$I$34,($G$15:$G$34=G24)*($H$15:$H$34=H24))</f>
        <v>165</v>
      </c>
    </row>
    <row r="25" spans="7:13" x14ac:dyDescent="0.25">
      <c r="G25" s="4" t="s">
        <v>18</v>
      </c>
      <c r="H25" s="8">
        <v>45383</v>
      </c>
      <c r="I25" s="9">
        <v>105</v>
      </c>
      <c r="K25" t="str">
        <v>Aishwarya ROW</v>
      </c>
      <c r="L25" s="13">
        <f t="shared" si="0"/>
        <v>45383</v>
      </c>
      <c r="M25" s="14" cm="1">
        <f t="array" ref="M25">_xlfn._xlws.FILTER($I$15:$I$34,($G$15:$G$34=G25)*($H$15:$H$34=H25))</f>
        <v>105</v>
      </c>
    </row>
    <row r="26" spans="7:13" x14ac:dyDescent="0.25">
      <c r="G26" s="4" t="s">
        <v>32</v>
      </c>
      <c r="H26" s="8">
        <v>45378</v>
      </c>
      <c r="I26" s="9">
        <v>240</v>
      </c>
      <c r="K26" t="str">
        <v>Gerald Find</v>
      </c>
      <c r="L26" s="13">
        <f t="shared" si="0"/>
        <v>45378</v>
      </c>
      <c r="M26" s="14" cm="1">
        <f t="array" ref="M26">_xlfn._xlws.FILTER($I$15:$I$34,($G$15:$G$34=G26)*($H$15:$H$34=H26))</f>
        <v>240</v>
      </c>
    </row>
    <row r="27" spans="7:13" x14ac:dyDescent="0.25">
      <c r="G27" s="4" t="s">
        <v>31</v>
      </c>
      <c r="H27" s="8">
        <v>45374</v>
      </c>
      <c r="I27" s="9">
        <v>165</v>
      </c>
      <c r="K27" t="str">
        <v>Franklin D Choosevelt</v>
      </c>
      <c r="L27" s="13">
        <f t="shared" si="0"/>
        <v>45374</v>
      </c>
      <c r="M27" s="14" cm="1">
        <f t="array" ref="M27">_xlfn._xlws.FILTER($I$15:$I$34,($G$15:$G$34=G27)*($H$15:$H$34=H27))</f>
        <v>165</v>
      </c>
    </row>
    <row r="28" spans="7:13" x14ac:dyDescent="0.25">
      <c r="G28" s="4" t="s">
        <v>16</v>
      </c>
      <c r="H28" s="8">
        <v>45361</v>
      </c>
      <c r="I28" s="9">
        <v>220</v>
      </c>
      <c r="K28" t="str">
        <v>Mani RatNAME</v>
      </c>
      <c r="L28" s="13">
        <f t="shared" si="0"/>
        <v>45361</v>
      </c>
      <c r="M28" s="14" cm="1">
        <f t="array" ref="M28">_xlfn._xlws.FILTER($I$15:$I$34,($G$15:$G$34=G28)*($H$15:$H$34=H28))</f>
        <v>220</v>
      </c>
    </row>
    <row r="29" spans="7:13" x14ac:dyDescent="0.25">
      <c r="G29" s="4" t="s">
        <v>27</v>
      </c>
      <c r="H29" s="8">
        <v>45344</v>
      </c>
      <c r="I29" s="9">
        <v>120</v>
      </c>
    </row>
    <row r="30" spans="7:13" x14ac:dyDescent="0.25">
      <c r="G30" s="4" t="s">
        <v>24</v>
      </c>
      <c r="H30" s="8">
        <v>45319</v>
      </c>
      <c r="I30" s="9">
        <v>210</v>
      </c>
    </row>
    <row r="31" spans="7:13" x14ac:dyDescent="0.25">
      <c r="G31" s="4" t="s">
        <v>16</v>
      </c>
      <c r="H31" s="8">
        <v>45316</v>
      </c>
      <c r="I31" s="9">
        <v>160</v>
      </c>
    </row>
    <row r="32" spans="7:13" x14ac:dyDescent="0.25">
      <c r="G32" s="4" t="s">
        <v>15</v>
      </c>
      <c r="H32" s="8">
        <v>45315</v>
      </c>
      <c r="I32" s="9">
        <v>165</v>
      </c>
    </row>
    <row r="33" spans="7:9" x14ac:dyDescent="0.25">
      <c r="G33" s="4" t="s">
        <v>21</v>
      </c>
      <c r="H33" s="8">
        <v>45315</v>
      </c>
      <c r="I33" s="9">
        <v>130</v>
      </c>
    </row>
    <row r="34" spans="7:9" x14ac:dyDescent="0.25">
      <c r="G34" s="4" t="s">
        <v>35</v>
      </c>
      <c r="H34" s="8">
        <v>45294</v>
      </c>
      <c r="I34" s="9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Remove Duplicates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User</cp:lastModifiedBy>
  <dcterms:created xsi:type="dcterms:W3CDTF">2021-03-14T20:21:32Z</dcterms:created>
  <dcterms:modified xsi:type="dcterms:W3CDTF">2026-05-02T01:12:28Z</dcterms:modified>
</cp:coreProperties>
</file>